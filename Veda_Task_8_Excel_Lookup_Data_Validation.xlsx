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ata" sheetId="1" r:id="rId5"/>
    <sheet state="visible" name="Lookup_Analysis" sheetId="2" r:id="rId6"/>
    <sheet state="visible" name="Data_Validation" sheetId="3" r:id="rId7"/>
  </sheets>
  <definedNames/>
  <calcPr/>
</workbook>
</file>

<file path=xl/sharedStrings.xml><?xml version="1.0" encoding="utf-8"?>
<sst xmlns="http://schemas.openxmlformats.org/spreadsheetml/2006/main" count="126" uniqueCount="53">
  <si>
    <t>Employee_ID</t>
  </si>
  <si>
    <t>Employee_Name</t>
  </si>
  <si>
    <t>Department_ID</t>
  </si>
  <si>
    <t>Department_Name</t>
  </si>
  <si>
    <t>Manager</t>
  </si>
  <si>
    <t>Salary</t>
  </si>
  <si>
    <t>E001</t>
  </si>
  <si>
    <t>Rahul Sharma</t>
  </si>
  <si>
    <t>D001</t>
  </si>
  <si>
    <t>Human Resources</t>
  </si>
  <si>
    <t>Anita Rao</t>
  </si>
  <si>
    <t>E002</t>
  </si>
  <si>
    <t>Priya Kumar</t>
  </si>
  <si>
    <t>D002</t>
  </si>
  <si>
    <t>Finance</t>
  </si>
  <si>
    <t>Rajesh Kumar</t>
  </si>
  <si>
    <t>E003</t>
  </si>
  <si>
    <t>Amit Singh</t>
  </si>
  <si>
    <t>D003</t>
  </si>
  <si>
    <t>Information Technology</t>
  </si>
  <si>
    <t>Suresh Bhat</t>
  </si>
  <si>
    <t>E004</t>
  </si>
  <si>
    <t>Neha Patel</t>
  </si>
  <si>
    <t>Active</t>
  </si>
  <si>
    <t>D004</t>
  </si>
  <si>
    <t>Marketing</t>
  </si>
  <si>
    <t>Meena Shah</t>
  </si>
  <si>
    <t>E005</t>
  </si>
  <si>
    <t>Arjun Rao</t>
  </si>
  <si>
    <t>E006</t>
  </si>
  <si>
    <t>Sneha Reddy</t>
  </si>
  <si>
    <t>E007</t>
  </si>
  <si>
    <t>Kiran Gowda</t>
  </si>
  <si>
    <t>E008</t>
  </si>
  <si>
    <t>Anjali Nair</t>
  </si>
  <si>
    <t>E009</t>
  </si>
  <si>
    <t>Rohit Verma</t>
  </si>
  <si>
    <t>E010</t>
  </si>
  <si>
    <t>Pooja Mehta</t>
  </si>
  <si>
    <t>Inactive</t>
  </si>
  <si>
    <t>Data Validation Rules</t>
  </si>
  <si>
    <t>1. Department is restricted to Human Resources, Finance, Information Technology, and Marketing.</t>
  </si>
  <si>
    <t>2. Employee Status is restricted to Active or Inactive.</t>
  </si>
  <si>
    <t>3. Employee IDs are checked for duplicates using COUNTIF.</t>
  </si>
  <si>
    <t>These validation rules improve data quality by reducing incorrect entries, maintaining consistency, and preventing duplicate employee identifiers.</t>
  </si>
  <si>
    <t>INDEX-MATCH Example</t>
  </si>
  <si>
    <t>Employee ID</t>
  </si>
  <si>
    <t>Employee Name</t>
  </si>
  <si>
    <t>Department ID</t>
  </si>
  <si>
    <t>Missing Lookup Test</t>
  </si>
  <si>
    <t>E999</t>
  </si>
  <si>
    <t>Lookup Explanation</t>
  </si>
  <si>
    <t>XLOOKUP was used to retrieve employee and department information using unique Employee IDs. INDEX-MATCH was used as an alternative lookup method. IFERROR was used to handle missing Employee IDs and display a user-friendly message. Using unique IDs helps combine information from different business tables accurately.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</si>
</sst>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5</v>
      </c>
      <c r="F1" s="1" t="s">
        <v>2</v>
      </c>
      <c r="G1" s="1" t="s">
        <v>3</v>
      </c>
      <c r="H1" s="1" t="s">
        <v>4</v>
      </c>
    </row>
    <row r="2">
      <c r="A2" s="1" t="s">
        <v>6</v>
      </c>
      <c r="B2" s="1" t="s">
        <v>7</v>
      </c>
      <c r="C2" s="1" t="s">
        <v>8</v>
      </c>
      <c r="D2" s="1">
        <v>45000.0</v>
      </c>
      <c r="F2" s="1" t="s">
        <v>8</v>
      </c>
      <c r="G2" s="1" t="s">
        <v>9</v>
      </c>
      <c r="H2" s="1" t="s">
        <v>10</v>
      </c>
    </row>
    <row r="3">
      <c r="A3" s="1" t="s">
        <v>11</v>
      </c>
      <c r="B3" s="1" t="s">
        <v>12</v>
      </c>
      <c r="C3" s="1" t="s">
        <v>13</v>
      </c>
      <c r="D3" s="1">
        <v>52000.0</v>
      </c>
      <c r="F3" s="1" t="s">
        <v>13</v>
      </c>
      <c r="G3" s="1" t="s">
        <v>14</v>
      </c>
      <c r="H3" s="1" t="s">
        <v>15</v>
      </c>
    </row>
    <row r="4">
      <c r="A4" s="1" t="s">
        <v>16</v>
      </c>
      <c r="B4" s="1" t="s">
        <v>17</v>
      </c>
      <c r="C4" s="1" t="s">
        <v>18</v>
      </c>
      <c r="D4" s="1">
        <v>48000.0</v>
      </c>
      <c r="F4" s="1" t="s">
        <v>18</v>
      </c>
      <c r="G4" s="1" t="s">
        <v>19</v>
      </c>
      <c r="H4" s="1" t="s">
        <v>20</v>
      </c>
    </row>
    <row r="5">
      <c r="A5" s="1" t="s">
        <v>21</v>
      </c>
      <c r="B5" s="1" t="s">
        <v>22</v>
      </c>
      <c r="C5" s="1" t="s">
        <v>8</v>
      </c>
      <c r="D5" s="1">
        <v>55000.0</v>
      </c>
      <c r="F5" s="1" t="s">
        <v>24</v>
      </c>
      <c r="G5" s="1" t="s">
        <v>25</v>
      </c>
      <c r="H5" s="1" t="s">
        <v>26</v>
      </c>
    </row>
    <row r="6">
      <c r="A6" s="1" t="s">
        <v>27</v>
      </c>
      <c r="B6" s="1" t="s">
        <v>28</v>
      </c>
      <c r="C6" s="1" t="s">
        <v>24</v>
      </c>
      <c r="D6" s="1">
        <v>47000.0</v>
      </c>
    </row>
    <row r="7">
      <c r="A7" s="1" t="s">
        <v>29</v>
      </c>
      <c r="B7" s="1" t="s">
        <v>30</v>
      </c>
      <c r="C7" s="1" t="s">
        <v>13</v>
      </c>
      <c r="D7" s="1">
        <v>60000.0</v>
      </c>
    </row>
    <row r="8">
      <c r="A8" s="1" t="s">
        <v>31</v>
      </c>
      <c r="B8" s="1" t="s">
        <v>32</v>
      </c>
      <c r="C8" s="1" t="s">
        <v>18</v>
      </c>
      <c r="D8" s="1">
        <v>51000.0</v>
      </c>
    </row>
    <row r="9">
      <c r="A9" s="1" t="s">
        <v>33</v>
      </c>
      <c r="B9" s="1" t="s">
        <v>34</v>
      </c>
      <c r="C9" s="1" t="s">
        <v>24</v>
      </c>
      <c r="D9" s="1">
        <v>49000.0</v>
      </c>
    </row>
    <row r="10">
      <c r="A10" s="1" t="s">
        <v>35</v>
      </c>
      <c r="B10" s="1" t="s">
        <v>36</v>
      </c>
      <c r="C10" s="1" t="s">
        <v>8</v>
      </c>
      <c r="D10" s="1">
        <v>58000.0</v>
      </c>
    </row>
    <row r="11">
      <c r="A11" s="1" t="s">
        <v>37</v>
      </c>
      <c r="B11" s="1" t="s">
        <v>38</v>
      </c>
      <c r="C11" s="1" t="s">
        <v>13</v>
      </c>
      <c r="D11" s="1">
        <v>53000.0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6.38"/>
    <col customWidth="1" min="3" max="3" width="12.38"/>
    <col customWidth="1" min="4" max="4" width="19.38"/>
    <col customWidth="1" min="5" max="5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tr">
        <f t="array" ref="B2">_xlfn.XLOOKUP(A2,Employee_Data!A:A,Employee_Data!B:B,"Not Found")</f>
        <v>Rahul Sharma</v>
      </c>
      <c r="C2" s="2" t="str">
        <f t="array" ref="C2">_xlfn.XLOOKUP(A2,Employee_Data!A:A,Employee_Data!C:C,"Not Found")</f>
        <v>D001</v>
      </c>
      <c r="D2" s="2" t="str">
        <f t="array" ref="D2">_xlfn.XLOOKUP(C2,Employee_Data!F:F,Employee_Data!G:G,"Not Found")</f>
        <v>Human Resources</v>
      </c>
      <c r="E2" s="2" t="str">
        <f t="array" ref="E2">_xlfn.XLOOKUP(C2,Employee_Data!F:F,Employee_Data!H:H,"Not Found")</f>
        <v>Anita Rao</v>
      </c>
      <c r="F2" s="2">
        <f t="array" ref="F2">_xlfn.XLOOKUP(A2,Employee_Data!A:A,Employee_Data!D:D,"Not Found")</f>
        <v>45000</v>
      </c>
    </row>
    <row r="3">
      <c r="A3" s="1" t="s">
        <v>11</v>
      </c>
      <c r="B3" s="2" t="str">
        <f t="array" ref="B3">_xlfn.XLOOKUP(A3,Employee_Data!A:A,Employee_Data!B:B,"Not Found")</f>
        <v>Priya Kumar</v>
      </c>
      <c r="C3" s="2" t="str">
        <f t="array" ref="C3">_xlfn.XLOOKUP(A3,Employee_Data!A:A,Employee_Data!C:C,"Not Found")</f>
        <v>D002</v>
      </c>
      <c r="D3" s="2" t="str">
        <f t="array" ref="D3">_xlfn.XLOOKUP(C3,Employee_Data!F:F,Employee_Data!G:G,"Not Found")</f>
        <v>Finance</v>
      </c>
      <c r="E3" s="2" t="str">
        <f t="array" ref="E3">_xlfn.XLOOKUP(C3,Employee_Data!F:F,Employee_Data!H:H,"Not Found")</f>
        <v>Rajesh Kumar</v>
      </c>
      <c r="F3" s="2">
        <f t="array" ref="F3">_xlfn.XLOOKUP(A3,Employee_Data!A:A,Employee_Data!D:D,"Not Found")</f>
        <v>52000</v>
      </c>
    </row>
    <row r="4">
      <c r="A4" s="1" t="s">
        <v>16</v>
      </c>
      <c r="B4" s="2" t="str">
        <f t="array" ref="B4">_xlfn.XLOOKUP(A4,Employee_Data!A:A,Employee_Data!B:B,"Not Found")</f>
        <v>Amit Singh</v>
      </c>
      <c r="C4" s="2" t="str">
        <f t="array" ref="C4">_xlfn.XLOOKUP(A4,Employee_Data!A:A,Employee_Data!C:C,"Not Found")</f>
        <v>D003</v>
      </c>
      <c r="D4" s="2" t="str">
        <f t="array" ref="D4">_xlfn.XLOOKUP(C4,Employee_Data!F:F,Employee_Data!G:G,"Not Found")</f>
        <v>Information Technology</v>
      </c>
      <c r="E4" s="2" t="str">
        <f t="array" ref="E4">_xlfn.XLOOKUP(C4,Employee_Data!F:F,Employee_Data!H:H,"Not Found")</f>
        <v>Suresh Bhat</v>
      </c>
      <c r="F4" s="2">
        <f t="array" ref="F4">_xlfn.XLOOKUP(A4,Employee_Data!A:A,Employee_Data!D:D,"Not Found")</f>
        <v>48000</v>
      </c>
    </row>
    <row r="5">
      <c r="A5" s="1" t="s">
        <v>21</v>
      </c>
      <c r="B5" s="2" t="str">
        <f t="array" ref="B5">_xlfn.XLOOKUP(A5,Employee_Data!A:A,Employee_Data!B:B,"Not Found")</f>
        <v>Neha Patel</v>
      </c>
      <c r="C5" s="2" t="str">
        <f t="array" ref="C5">_xlfn.XLOOKUP(A5,Employee_Data!A:A,Employee_Data!C:C,"Not Found")</f>
        <v>D001</v>
      </c>
      <c r="D5" s="2" t="str">
        <f t="array" ref="D5">_xlfn.XLOOKUP(C5,Employee_Data!F:F,Employee_Data!G:G,"Not Found")</f>
        <v>Human Resources</v>
      </c>
      <c r="E5" s="2" t="str">
        <f t="array" ref="E5">_xlfn.XLOOKUP(C5,Employee_Data!F:F,Employee_Data!H:H,"Not Found")</f>
        <v>Anita Rao</v>
      </c>
      <c r="F5" s="2">
        <f t="array" ref="F5">_xlfn.XLOOKUP(A5,Employee_Data!A:A,Employee_Data!D:D,"Not Found")</f>
        <v>55000</v>
      </c>
    </row>
    <row r="6">
      <c r="A6" s="1" t="s">
        <v>27</v>
      </c>
      <c r="B6" s="2" t="str">
        <f t="array" ref="B6">_xlfn.XLOOKUP(A6,Employee_Data!A:A,Employee_Data!B:B,"Not Found")</f>
        <v>Arjun Rao</v>
      </c>
      <c r="C6" s="2" t="str">
        <f t="array" ref="C6">_xlfn.XLOOKUP(A6,Employee_Data!A:A,Employee_Data!C:C,"Not Found")</f>
        <v>D004</v>
      </c>
      <c r="D6" s="2" t="str">
        <f t="array" ref="D6">_xlfn.XLOOKUP(C6,Employee_Data!F:F,Employee_Data!G:G,"Not Found")</f>
        <v>Marketing</v>
      </c>
      <c r="E6" s="2" t="str">
        <f t="array" ref="E6">_xlfn.XLOOKUP(C6,Employee_Data!F:F,Employee_Data!H:H,"Not Found")</f>
        <v>Meena Shah</v>
      </c>
      <c r="F6" s="2">
        <f t="array" ref="F6">_xlfn.XLOOKUP(A6,Employee_Data!A:A,Employee_Data!D:D,"Not Found")</f>
        <v>47000</v>
      </c>
    </row>
    <row r="7">
      <c r="A7" s="1" t="s">
        <v>29</v>
      </c>
      <c r="B7" s="2" t="str">
        <f t="array" ref="B7">_xlfn.XLOOKUP(A7,Employee_Data!A:A,Employee_Data!B:B,"Not Found")</f>
        <v>Sneha Reddy</v>
      </c>
      <c r="C7" s="2" t="str">
        <f t="array" ref="C7">_xlfn.XLOOKUP(A7,Employee_Data!A:A,Employee_Data!C:C,"Not Found")</f>
        <v>D002</v>
      </c>
      <c r="D7" s="2" t="str">
        <f t="array" ref="D7">_xlfn.XLOOKUP(C7,Employee_Data!F:F,Employee_Data!G:G,"Not Found")</f>
        <v>Finance</v>
      </c>
      <c r="E7" s="2" t="str">
        <f t="array" ref="E7">_xlfn.XLOOKUP(C7,Employee_Data!F:F,Employee_Data!H:H,"Not Found")</f>
        <v>Rajesh Kumar</v>
      </c>
      <c r="F7" s="2">
        <f t="array" ref="F7">_xlfn.XLOOKUP(A7,Employee_Data!A:A,Employee_Data!D:D,"Not Found")</f>
        <v>60000</v>
      </c>
    </row>
    <row r="8">
      <c r="A8" s="1" t="s">
        <v>31</v>
      </c>
      <c r="B8" s="2" t="str">
        <f t="array" ref="B8">_xlfn.XLOOKUP(A8,Employee_Data!A:A,Employee_Data!B:B,"Not Found")</f>
        <v>Kiran Gowda</v>
      </c>
      <c r="C8" s="2" t="str">
        <f t="array" ref="C8">_xlfn.XLOOKUP(A8,Employee_Data!A:A,Employee_Data!C:C,"Not Found")</f>
        <v>D003</v>
      </c>
      <c r="D8" s="2" t="str">
        <f t="array" ref="D8">_xlfn.XLOOKUP(C8,Employee_Data!F:F,Employee_Data!G:G,"Not Found")</f>
        <v>Information Technology</v>
      </c>
      <c r="E8" s="2" t="str">
        <f t="array" ref="E8">_xlfn.XLOOKUP(C8,Employee_Data!F:F,Employee_Data!H:H,"Not Found")</f>
        <v>Suresh Bhat</v>
      </c>
      <c r="F8" s="2">
        <f t="array" ref="F8">_xlfn.XLOOKUP(A8,Employee_Data!A:A,Employee_Data!D:D,"Not Found")</f>
        <v>51000</v>
      </c>
    </row>
    <row r="9">
      <c r="A9" s="1" t="s">
        <v>33</v>
      </c>
      <c r="B9" s="2" t="str">
        <f t="array" ref="B9">_xlfn.XLOOKUP(A9,Employee_Data!A:A,Employee_Data!B:B,"Not Found")</f>
        <v>Anjali Nair</v>
      </c>
      <c r="C9" s="2" t="str">
        <f t="array" ref="C9">_xlfn.XLOOKUP(A9,Employee_Data!A:A,Employee_Data!C:C,"Not Found")</f>
        <v>D004</v>
      </c>
      <c r="D9" s="2" t="str">
        <f t="array" ref="D9">_xlfn.XLOOKUP(C9,Employee_Data!F:F,Employee_Data!G:G,"Not Found")</f>
        <v>Marketing</v>
      </c>
      <c r="E9" s="2" t="str">
        <f t="array" ref="E9">_xlfn.XLOOKUP(C9,Employee_Data!F:F,Employee_Data!H:H,"Not Found")</f>
        <v>Meena Shah</v>
      </c>
      <c r="F9" s="2">
        <f t="array" ref="F9">_xlfn.XLOOKUP(A9,Employee_Data!A:A,Employee_Data!D:D,"Not Found")</f>
        <v>49000</v>
      </c>
    </row>
    <row r="10">
      <c r="A10" s="1" t="s">
        <v>35</v>
      </c>
      <c r="B10" s="2" t="str">
        <f t="array" ref="B10">_xlfn.XLOOKUP(A10,Employee_Data!A:A,Employee_Data!B:B,"Not Found")</f>
        <v>Rohit Verma</v>
      </c>
      <c r="C10" s="2" t="str">
        <f t="array" ref="C10">_xlfn.XLOOKUP(A10,Employee_Data!A:A,Employee_Data!C:C,"Not Found")</f>
        <v>D001</v>
      </c>
      <c r="D10" s="2" t="str">
        <f t="array" ref="D10">_xlfn.XLOOKUP(C10,Employee_Data!F:F,Employee_Data!G:G,"Not Found")</f>
        <v>Human Resources</v>
      </c>
      <c r="E10" s="2" t="str">
        <f t="array" ref="E10">_xlfn.XLOOKUP(C10,Employee_Data!F:F,Employee_Data!H:H,"Not Found")</f>
        <v>Anita Rao</v>
      </c>
      <c r="F10" s="2">
        <f t="array" ref="F10">_xlfn.XLOOKUP(A10,Employee_Data!A:A,Employee_Data!D:D,"Not Found")</f>
        <v>58000</v>
      </c>
    </row>
    <row r="11">
      <c r="A11" s="1" t="s">
        <v>37</v>
      </c>
      <c r="B11" s="2" t="str">
        <f t="array" ref="B11">_xlfn.XLOOKUP(A11,Employee_Data!A:A,Employee_Data!B:B,"Not Found")</f>
        <v>Pooja Mehta</v>
      </c>
      <c r="C11" s="2" t="str">
        <f t="array" ref="C11">_xlfn.XLOOKUP(A11,Employee_Data!A:A,Employee_Data!C:C,"Not Found")</f>
        <v>D002</v>
      </c>
      <c r="D11" s="2" t="str">
        <f t="array" ref="D11">_xlfn.XLOOKUP(C11,Employee_Data!F:F,Employee_Data!G:G,"Not Found")</f>
        <v>Finance</v>
      </c>
      <c r="E11" s="2" t="str">
        <f t="array" ref="E11">_xlfn.XLOOKUP(C11,Employee_Data!F:F,Employee_Data!H:H,"Not Found")</f>
        <v>Rajesh Kumar</v>
      </c>
      <c r="F11" s="2">
        <f t="array" ref="F11">_xlfn.XLOOKUP(A11,Employee_Data!A:A,Employee_Data!D:D,"Not Found")</f>
        <v>53000</v>
      </c>
    </row>
    <row r="14">
      <c r="A14" s="1" t="s">
        <v>45</v>
      </c>
    </row>
    <row r="15">
      <c r="A15" s="1" t="s">
        <v>46</v>
      </c>
      <c r="B15" s="1" t="s">
        <v>27</v>
      </c>
    </row>
    <row r="16">
      <c r="A16" s="1" t="s">
        <v>47</v>
      </c>
      <c r="B16" s="2" t="str">
        <f t="array" ref="B16">INDEX(Employee_Data!B:B,MATCH(B15,Employee_Data!A:A,0))</f>
        <v>Arjun Rao</v>
      </c>
    </row>
    <row r="17">
      <c r="A17" s="1" t="s">
        <v>48</v>
      </c>
      <c r="B17" s="2" t="str">
        <f t="array" ref="B17">INDEX(Employee_Data!C:C,MATCH(B15,Employee_Data!A:A,0))</f>
        <v>D004</v>
      </c>
    </row>
    <row r="18">
      <c r="A18" s="1" t="s">
        <v>5</v>
      </c>
      <c r="B18" s="2">
        <f t="array" ref="B18">INDEX(Employee_Data!D:D,MATCH(B15,Employee_Data!A:A,0))</f>
        <v>47000</v>
      </c>
    </row>
    <row r="21">
      <c r="A21" s="1" t="s">
        <v>49</v>
      </c>
    </row>
    <row r="22">
      <c r="A22" s="1" t="s">
        <v>46</v>
      </c>
      <c r="B22" s="1" t="s">
        <v>50</v>
      </c>
    </row>
    <row r="23">
      <c r="A23" s="1" t="s">
        <v>47</v>
      </c>
      <c r="B23" s="2" t="str">
        <f t="array" ref="B23">IFERROR(_xlfn.XLOOKUP(B22,Employee_Data!$A$2:$A$11,Employee_Data!$B$2:$B$11),"Employee Not Found")</f>
        <v>Employee Not Found</v>
      </c>
    </row>
    <row r="25">
      <c r="A25" s="1" t="s">
        <v>51</v>
      </c>
    </row>
    <row r="26">
      <c r="A26" s="1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9</v>
      </c>
      <c r="D1" s="1" t="s">
        <v>23</v>
      </c>
    </row>
    <row r="2">
      <c r="A2" s="1" t="s">
        <v>6</v>
      </c>
      <c r="B2" s="1" t="s">
        <v>7</v>
      </c>
      <c r="C2" s="1" t="s">
        <v>14</v>
      </c>
      <c r="D2" s="1" t="s">
        <v>39</v>
      </c>
    </row>
    <row r="3">
      <c r="A3" s="1" t="s">
        <v>11</v>
      </c>
      <c r="B3" s="1" t="s">
        <v>12</v>
      </c>
      <c r="C3" s="1" t="s">
        <v>19</v>
      </c>
      <c r="D3" s="1" t="s">
        <v>23</v>
      </c>
    </row>
    <row r="4">
      <c r="A4" s="1" t="s">
        <v>16</v>
      </c>
      <c r="B4" s="1" t="s">
        <v>17</v>
      </c>
      <c r="C4" s="1" t="s">
        <v>25</v>
      </c>
      <c r="D4" s="1" t="s">
        <v>23</v>
      </c>
    </row>
    <row r="5">
      <c r="A5" s="1" t="s">
        <v>21</v>
      </c>
      <c r="B5" s="1" t="s">
        <v>22</v>
      </c>
      <c r="C5" s="1" t="s">
        <v>9</v>
      </c>
      <c r="D5" s="1" t="s">
        <v>39</v>
      </c>
    </row>
    <row r="6">
      <c r="A6" s="1" t="s">
        <v>27</v>
      </c>
      <c r="B6" s="1" t="s">
        <v>28</v>
      </c>
      <c r="C6" s="1" t="s">
        <v>25</v>
      </c>
      <c r="D6" s="1" t="s">
        <v>23</v>
      </c>
    </row>
    <row r="7">
      <c r="A7" s="1" t="s">
        <v>29</v>
      </c>
      <c r="B7" s="1" t="s">
        <v>30</v>
      </c>
      <c r="C7" s="1" t="s">
        <v>14</v>
      </c>
      <c r="D7" s="1" t="s">
        <v>23</v>
      </c>
    </row>
    <row r="8">
      <c r="A8" s="1" t="s">
        <v>31</v>
      </c>
      <c r="B8" s="1" t="s">
        <v>32</v>
      </c>
      <c r="C8" s="1" t="s">
        <v>19</v>
      </c>
      <c r="D8" s="1" t="s">
        <v>39</v>
      </c>
    </row>
    <row r="9">
      <c r="A9" s="1" t="s">
        <v>33</v>
      </c>
      <c r="B9" s="1" t="s">
        <v>34</v>
      </c>
      <c r="C9" s="1" t="s">
        <v>25</v>
      </c>
      <c r="D9" s="1" t="s">
        <v>23</v>
      </c>
    </row>
    <row r="10">
      <c r="A10" s="1" t="s">
        <v>35</v>
      </c>
      <c r="B10" s="1" t="s">
        <v>36</v>
      </c>
      <c r="C10" s="1" t="s">
        <v>9</v>
      </c>
      <c r="D10" s="1" t="s">
        <v>23</v>
      </c>
    </row>
    <row r="11">
      <c r="A11" s="1" t="s">
        <v>37</v>
      </c>
      <c r="B11" s="1" t="s">
        <v>38</v>
      </c>
      <c r="C11" s="1" t="s">
        <v>14</v>
      </c>
      <c r="D11" s="1" t="s">
        <v>23</v>
      </c>
    </row>
    <row r="12">
      <c r="A12" s="1"/>
    </row>
    <row r="14">
      <c r="A14" s="1" t="s">
        <v>40</v>
      </c>
    </row>
    <row r="16">
      <c r="A16" s="1" t="s">
        <v>41</v>
      </c>
    </row>
    <row r="18">
      <c r="A18" s="1" t="s">
        <v>42</v>
      </c>
    </row>
    <row r="20">
      <c r="A20" s="1" t="s">
        <v>43</v>
      </c>
    </row>
    <row r="22">
      <c r="A22" s="1" t="s">
        <v>44</v>
      </c>
    </row>
  </sheetData>
  <dataValidations>
    <dataValidation type="custom" allowBlank="1" showDropDown="1" showErrorMessage="1" sqref="A2:A11">
      <formula1>COUNTIF($A$2:$A$11,A2)=1</formula1>
    </dataValidation>
    <dataValidation type="list" allowBlank="1" showErrorMessage="1" sqref="C1:C11">
      <formula1>"Department,Finance,Human Resources,Information Technology,Marketing"</formula1>
    </dataValidation>
    <dataValidation type="list" allowBlank="1" showErrorMessage="1" sqref="D1:D11">
      <formula1>"Active,Inactive,Status"</formula1>
    </dataValidation>
  </dataValidations>
  <drawing r:id="rId1"/>
</worksheet>
</file>