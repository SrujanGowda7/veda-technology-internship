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Analysis" sheetId="2" r:id="rId6"/>
    <sheet state="visible" name="Business_Summary" sheetId="3" r:id="rId7"/>
  </sheets>
  <definedNames/>
  <calcPr/>
</workbook>
</file>

<file path=xl/sharedStrings.xml><?xml version="1.0" encoding="utf-8"?>
<sst xmlns="http://schemas.openxmlformats.org/spreadsheetml/2006/main" count="132" uniqueCount="94">
  <si>
    <t>KPI</t>
  </si>
  <si>
    <t>MINI BUSINESS ANALYSIS REPORT</t>
  </si>
  <si>
    <t>Order_ID</t>
  </si>
  <si>
    <t>Result</t>
  </si>
  <si>
    <t>Business Meaning</t>
  </si>
  <si>
    <t>Total Revenue</t>
  </si>
  <si>
    <t>Business Question</t>
  </si>
  <si>
    <t>How is the business performing, and what actions can improve revenue, profitability, and customer conversion?</t>
  </si>
  <si>
    <t>Order_Date</t>
  </si>
  <si>
    <t>Customer_ID</t>
  </si>
  <si>
    <t>Value</t>
  </si>
  <si>
    <t>Category</t>
  </si>
  <si>
    <t>Quantity</t>
  </si>
  <si>
    <t>Sales</t>
  </si>
  <si>
    <t>Profit</t>
  </si>
  <si>
    <t>₹171,000</t>
  </si>
  <si>
    <t>Visitors</t>
  </si>
  <si>
    <t>Conversions</t>
  </si>
  <si>
    <t>Total Profit</t>
  </si>
  <si>
    <t>₹34,675</t>
  </si>
  <si>
    <t>Profit Margin</t>
  </si>
  <si>
    <t>Average Order Value</t>
  </si>
  <si>
    <t>₹8,550</t>
  </si>
  <si>
    <t>Total Orders</t>
  </si>
  <si>
    <t>Conversion Rate</t>
  </si>
  <si>
    <t>O001</t>
  </si>
  <si>
    <t>Revenue Growth Rate</t>
  </si>
  <si>
    <t>KEY FINDINGS</t>
  </si>
  <si>
    <t>Revenue generated was ₹171,000.</t>
  </si>
  <si>
    <t>Total profit was ₹34,675 with a 20.28% profit margin.</t>
  </si>
  <si>
    <t>Average Order Value was ₹8,550.</t>
  </si>
  <si>
    <t>C001</t>
  </si>
  <si>
    <t>Electronics</t>
  </si>
  <si>
    <t>Electronics generated the highest revenue.</t>
  </si>
  <si>
    <t>Clothing generated the highest profit.</t>
  </si>
  <si>
    <t>O002</t>
  </si>
  <si>
    <t>Conversion rate was 5.52%.</t>
  </si>
  <si>
    <t>C002</t>
  </si>
  <si>
    <t>Total sales generated</t>
  </si>
  <si>
    <t>Furniture</t>
  </si>
  <si>
    <t>Revenue declined by 29.85% in the second period.</t>
  </si>
  <si>
    <t>Improving conversions and reversing the revenue decline should be key priorities.</t>
  </si>
  <si>
    <t>O003</t>
  </si>
  <si>
    <t>RECOMMENDATIONS</t>
  </si>
  <si>
    <t>C003</t>
  </si>
  <si>
    <t>Clothing</t>
  </si>
  <si>
    <t>O004</t>
  </si>
  <si>
    <t>Increase targeted promotions for high-revenue products.</t>
  </si>
  <si>
    <t>Focus on profitable Clothing products to improve overall profitability.</t>
  </si>
  <si>
    <t>O005</t>
  </si>
  <si>
    <t>C004</t>
  </si>
  <si>
    <t>Improve website/customer conversion through better offers and customer engagement.</t>
  </si>
  <si>
    <t>Analyze the reasons behind the revenue decline and develop corrective sales strategies.</t>
  </si>
  <si>
    <t>O006</t>
  </si>
  <si>
    <t>C005</t>
  </si>
  <si>
    <t>O007</t>
  </si>
  <si>
    <t>O008</t>
  </si>
  <si>
    <t>C006</t>
  </si>
  <si>
    <t>Total profit generated</t>
  </si>
  <si>
    <t>O009</t>
  </si>
  <si>
    <t>C007</t>
  </si>
  <si>
    <t>O010</t>
  </si>
  <si>
    <t>O011</t>
  </si>
  <si>
    <t>C008</t>
  </si>
  <si>
    <t>O012</t>
  </si>
  <si>
    <t>C009</t>
  </si>
  <si>
    <t>Profit earned from revenue</t>
  </si>
  <si>
    <t>O013</t>
  </si>
  <si>
    <t>O014</t>
  </si>
  <si>
    <t>C010</t>
  </si>
  <si>
    <t>O015</t>
  </si>
  <si>
    <t>O016</t>
  </si>
  <si>
    <t>Average revenue per order</t>
  </si>
  <si>
    <t>C011</t>
  </si>
  <si>
    <t>O017</t>
  </si>
  <si>
    <t>C012</t>
  </si>
  <si>
    <t>O018</t>
  </si>
  <si>
    <t>Number of orders</t>
  </si>
  <si>
    <t>O019</t>
  </si>
  <si>
    <t>C013</t>
  </si>
  <si>
    <t>O020</t>
  </si>
  <si>
    <t>Visitors converted into orders</t>
  </si>
  <si>
    <t>Change in revenue between periods</t>
  </si>
  <si>
    <t>Revenue</t>
  </si>
  <si>
    <t>Business Findings</t>
  </si>
  <si>
    <t>Total revenue generated was ₹171,000.</t>
  </si>
  <si>
    <t>Total profit was ₹34,675, giving a 20.28% profit margin.</t>
  </si>
  <si>
    <t>Electronics generated the highest revenue at ₹65,500.</t>
  </si>
  <si>
    <t>Clothing generated the highest profit at ₹14,750.</t>
  </si>
  <si>
    <t>Revenue declined by 29.85% in the second period, indicating a need to improve sales performance.</t>
  </si>
  <si>
    <t>Recommendations</t>
  </si>
  <si>
    <t>Improve revenue: Focus marketing and promotions on high-revenue categories such as Electronics.</t>
  </si>
  <si>
    <t>Protect profitability: Increase focus on Clothing because it generates the highest profit.</t>
  </si>
  <si>
    <t>Improve growth: Investigate the reasons for the 29.85% revenue decline and introduce targeted offers to increase orders and conversions.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</si>
</sst>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color rgb="FF000000"/>
      <name val="Arial"/>
      <scheme val="minor"/>
    </font>
    <font>
      <sz val="12.0"/>
      <color rgb="FF000000"/>
      <name val="Arial"/>
      <scheme val="minor"/>
    </font>
    <font>
      <b/>
      <sz val="8.0"/>
      <color rgb="FF000000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8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0" fontId="5" numFmtId="0" xfId="0" applyFont="1"/>
    <xf borderId="0" fillId="0" fontId="4" numFmtId="10" xfId="0" applyAlignment="1" applyFont="1" applyNumberFormat="1">
      <alignment horizontal="right" readingOrder="0"/>
    </xf>
    <xf borderId="1" fillId="0" fontId="6" numFmtId="0" xfId="0" applyAlignment="1" applyBorder="1" applyFont="1">
      <alignment readingOrder="0" vertical="bottom"/>
    </xf>
    <xf borderId="0" fillId="0" fontId="4" numFmtId="0" xfId="0" applyFont="1"/>
    <xf borderId="1" fillId="0" fontId="6" numFmtId="164" xfId="0" applyAlignment="1" applyBorder="1" applyFont="1" applyNumberFormat="1">
      <alignment readingOrder="0" vertical="bottom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10" xfId="0" applyAlignment="1" applyFont="1" applyNumberForma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3.88"/>
    <col customWidth="1" min="3" max="3" width="28.5"/>
  </cols>
  <sheetData>
    <row r="1">
      <c r="A1" s="3" t="s">
        <v>2</v>
      </c>
      <c r="B1" s="3" t="s">
        <v>8</v>
      </c>
      <c r="C1" s="3" t="s">
        <v>9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16</v>
      </c>
      <c r="I1" s="3" t="s">
        <v>17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" t="s">
        <v>25</v>
      </c>
      <c r="B2" s="12">
        <v>46027.0</v>
      </c>
      <c r="C2" s="10" t="s">
        <v>31</v>
      </c>
      <c r="D2" s="10" t="s">
        <v>32</v>
      </c>
      <c r="E2" s="10">
        <v>2.0</v>
      </c>
      <c r="F2" s="10">
        <v>12000.0</v>
      </c>
      <c r="G2" s="10">
        <v>2400.0</v>
      </c>
      <c r="H2" s="10">
        <v>500.0</v>
      </c>
      <c r="I2" s="10">
        <v>25.0</v>
      </c>
    </row>
    <row r="3">
      <c r="A3" s="10" t="s">
        <v>35</v>
      </c>
      <c r="B3" s="12">
        <v>46030.0</v>
      </c>
      <c r="C3" s="10" t="s">
        <v>37</v>
      </c>
      <c r="D3" s="10" t="s">
        <v>39</v>
      </c>
      <c r="E3" s="10">
        <v>1.0</v>
      </c>
      <c r="F3" s="10">
        <v>8000.0</v>
      </c>
      <c r="G3" s="10">
        <v>1200.0</v>
      </c>
      <c r="H3" s="10">
        <v>400.0</v>
      </c>
      <c r="I3" s="10">
        <v>16.0</v>
      </c>
    </row>
    <row r="4">
      <c r="A4" s="10" t="s">
        <v>42</v>
      </c>
      <c r="B4" s="12">
        <v>46037.0</v>
      </c>
      <c r="C4" s="10" t="s">
        <v>44</v>
      </c>
      <c r="D4" s="10" t="s">
        <v>45</v>
      </c>
      <c r="E4" s="10">
        <v>3.0</v>
      </c>
      <c r="F4" s="10">
        <v>6000.0</v>
      </c>
      <c r="G4" s="10">
        <v>1500.0</v>
      </c>
      <c r="H4" s="10">
        <v>600.0</v>
      </c>
      <c r="I4" s="10">
        <v>30.0</v>
      </c>
    </row>
    <row r="5">
      <c r="A5" s="10" t="s">
        <v>46</v>
      </c>
      <c r="B5" s="12">
        <v>46044.0</v>
      </c>
      <c r="C5" s="10" t="s">
        <v>31</v>
      </c>
      <c r="D5" s="10" t="s">
        <v>32</v>
      </c>
      <c r="E5" s="10">
        <v>1.0</v>
      </c>
      <c r="F5" s="10">
        <v>7000.0</v>
      </c>
      <c r="G5" s="10">
        <v>1400.0</v>
      </c>
      <c r="H5" s="10">
        <v>450.0</v>
      </c>
      <c r="I5" s="10">
        <v>27.0</v>
      </c>
    </row>
    <row r="6">
      <c r="A6" s="10" t="s">
        <v>49</v>
      </c>
      <c r="B6" s="12">
        <v>46056.0</v>
      </c>
      <c r="C6" s="10" t="s">
        <v>50</v>
      </c>
      <c r="D6" s="10" t="s">
        <v>39</v>
      </c>
      <c r="E6" s="10">
        <v>2.0</v>
      </c>
      <c r="F6" s="10">
        <v>10000.0</v>
      </c>
      <c r="G6" s="10">
        <v>1800.0</v>
      </c>
      <c r="H6" s="10">
        <v>500.0</v>
      </c>
      <c r="I6" s="10">
        <v>20.0</v>
      </c>
    </row>
    <row r="7">
      <c r="A7" s="10" t="s">
        <v>53</v>
      </c>
      <c r="B7" s="12">
        <v>46063.0</v>
      </c>
      <c r="C7" s="10" t="s">
        <v>54</v>
      </c>
      <c r="D7" s="10" t="s">
        <v>45</v>
      </c>
      <c r="E7" s="10">
        <v>4.0</v>
      </c>
      <c r="F7" s="10">
        <v>9000.0</v>
      </c>
      <c r="G7" s="10">
        <v>2250.0</v>
      </c>
      <c r="H7" s="10">
        <v>550.0</v>
      </c>
      <c r="I7" s="10">
        <v>33.0</v>
      </c>
    </row>
    <row r="8">
      <c r="A8" s="10" t="s">
        <v>55</v>
      </c>
      <c r="B8" s="12">
        <v>46071.0</v>
      </c>
      <c r="C8" s="10" t="s">
        <v>37</v>
      </c>
      <c r="D8" s="10" t="s">
        <v>32</v>
      </c>
      <c r="E8" s="10">
        <v>1.0</v>
      </c>
      <c r="F8" s="10">
        <v>5000.0</v>
      </c>
      <c r="G8" s="10">
        <v>1000.0</v>
      </c>
      <c r="H8" s="10">
        <v>350.0</v>
      </c>
      <c r="I8" s="10">
        <v>14.0</v>
      </c>
    </row>
    <row r="9">
      <c r="A9" s="10" t="s">
        <v>56</v>
      </c>
      <c r="B9" s="12">
        <v>46078.0</v>
      </c>
      <c r="C9" s="10" t="s">
        <v>57</v>
      </c>
      <c r="D9" s="10" t="s">
        <v>39</v>
      </c>
      <c r="E9" s="10">
        <v>2.0</v>
      </c>
      <c r="F9" s="10">
        <v>11000.0</v>
      </c>
      <c r="G9" s="10">
        <v>2200.0</v>
      </c>
      <c r="H9" s="10">
        <v>600.0</v>
      </c>
      <c r="I9" s="10">
        <v>36.0</v>
      </c>
    </row>
    <row r="10">
      <c r="A10" s="10" t="s">
        <v>59</v>
      </c>
      <c r="B10" s="12">
        <v>46085.0</v>
      </c>
      <c r="C10" s="10" t="s">
        <v>60</v>
      </c>
      <c r="D10" s="10" t="s">
        <v>45</v>
      </c>
      <c r="E10" s="10">
        <v>3.0</v>
      </c>
      <c r="F10" s="10">
        <v>7500.0</v>
      </c>
      <c r="G10" s="10">
        <v>1875.0</v>
      </c>
      <c r="H10" s="10">
        <v>500.0</v>
      </c>
      <c r="I10" s="10">
        <v>25.0</v>
      </c>
    </row>
    <row r="11">
      <c r="A11" s="10" t="s">
        <v>61</v>
      </c>
      <c r="B11" s="12">
        <v>46093.0</v>
      </c>
      <c r="C11" s="10" t="s">
        <v>44</v>
      </c>
      <c r="D11" s="10" t="s">
        <v>32</v>
      </c>
      <c r="E11" s="10">
        <v>2.0</v>
      </c>
      <c r="F11" s="10">
        <v>13000.0</v>
      </c>
      <c r="G11" s="10">
        <v>2600.0</v>
      </c>
      <c r="H11" s="10">
        <v>650.0</v>
      </c>
      <c r="I11" s="10">
        <v>39.0</v>
      </c>
    </row>
    <row r="12">
      <c r="A12" s="10" t="s">
        <v>62</v>
      </c>
      <c r="B12" s="12">
        <v>46101.0</v>
      </c>
      <c r="C12" s="10" t="s">
        <v>63</v>
      </c>
      <c r="D12" s="10" t="s">
        <v>39</v>
      </c>
      <c r="E12" s="10">
        <v>1.0</v>
      </c>
      <c r="F12" s="10">
        <v>6500.0</v>
      </c>
      <c r="G12" s="10">
        <v>975.0</v>
      </c>
      <c r="H12" s="10">
        <v>400.0</v>
      </c>
      <c r="I12" s="10">
        <v>20.0</v>
      </c>
    </row>
    <row r="13">
      <c r="A13" s="10" t="s">
        <v>64</v>
      </c>
      <c r="B13" s="12">
        <v>46109.0</v>
      </c>
      <c r="C13" s="10" t="s">
        <v>65</v>
      </c>
      <c r="D13" s="10" t="s">
        <v>45</v>
      </c>
      <c r="E13" s="10">
        <v>2.0</v>
      </c>
      <c r="F13" s="10">
        <v>5500.0</v>
      </c>
      <c r="G13" s="10">
        <v>1375.0</v>
      </c>
      <c r="H13" s="10">
        <v>450.0</v>
      </c>
      <c r="I13" s="10">
        <v>27.0</v>
      </c>
    </row>
    <row r="14">
      <c r="A14" s="10" t="s">
        <v>67</v>
      </c>
      <c r="B14" s="12">
        <v>46117.0</v>
      </c>
      <c r="C14" s="10" t="s">
        <v>31</v>
      </c>
      <c r="D14" s="10" t="s">
        <v>32</v>
      </c>
      <c r="E14" s="10">
        <v>1.0</v>
      </c>
      <c r="F14" s="10">
        <v>8000.0</v>
      </c>
      <c r="G14" s="10">
        <v>1600.0</v>
      </c>
      <c r="H14" s="10">
        <v>550.0</v>
      </c>
      <c r="I14" s="10">
        <v>33.0</v>
      </c>
    </row>
    <row r="15">
      <c r="A15" s="10" t="s">
        <v>68</v>
      </c>
      <c r="B15" s="12">
        <v>46124.0</v>
      </c>
      <c r="C15" s="10" t="s">
        <v>69</v>
      </c>
      <c r="D15" s="10" t="s">
        <v>39</v>
      </c>
      <c r="E15" s="10">
        <v>2.0</v>
      </c>
      <c r="F15" s="10">
        <v>9500.0</v>
      </c>
      <c r="G15" s="10">
        <v>1710.0</v>
      </c>
      <c r="H15" s="10">
        <v>500.0</v>
      </c>
      <c r="I15" s="10">
        <v>25.0</v>
      </c>
    </row>
    <row r="16">
      <c r="A16" s="10" t="s">
        <v>70</v>
      </c>
      <c r="B16" s="12">
        <v>46132.0</v>
      </c>
      <c r="C16" s="10" t="s">
        <v>54</v>
      </c>
      <c r="D16" s="10" t="s">
        <v>45</v>
      </c>
      <c r="E16" s="10">
        <v>3.0</v>
      </c>
      <c r="F16" s="10">
        <v>8500.0</v>
      </c>
      <c r="G16" s="10">
        <v>2125.0</v>
      </c>
      <c r="H16" s="10">
        <v>600.0</v>
      </c>
      <c r="I16" s="10">
        <v>36.0</v>
      </c>
    </row>
    <row r="17">
      <c r="A17" s="10" t="s">
        <v>71</v>
      </c>
      <c r="B17" s="12">
        <v>46145.0</v>
      </c>
      <c r="C17" s="10" t="s">
        <v>73</v>
      </c>
      <c r="D17" s="10" t="s">
        <v>32</v>
      </c>
      <c r="E17" s="10">
        <v>2.0</v>
      </c>
      <c r="F17" s="10">
        <v>11500.0</v>
      </c>
      <c r="G17" s="10">
        <v>2300.0</v>
      </c>
      <c r="H17" s="10">
        <v>700.0</v>
      </c>
      <c r="I17" s="10">
        <v>42.0</v>
      </c>
    </row>
    <row r="18">
      <c r="A18" s="10" t="s">
        <v>74</v>
      </c>
      <c r="B18" s="12">
        <v>46152.0</v>
      </c>
      <c r="C18" s="10" t="s">
        <v>75</v>
      </c>
      <c r="D18" s="10" t="s">
        <v>39</v>
      </c>
      <c r="E18" s="10">
        <v>1.0</v>
      </c>
      <c r="F18" s="10">
        <v>7000.0</v>
      </c>
      <c r="G18" s="10">
        <v>1050.0</v>
      </c>
      <c r="H18" s="10">
        <v>450.0</v>
      </c>
      <c r="I18" s="10">
        <v>27.0</v>
      </c>
    </row>
    <row r="19">
      <c r="A19" s="10" t="s">
        <v>76</v>
      </c>
      <c r="B19" s="12">
        <v>46160.0</v>
      </c>
      <c r="C19" s="10" t="s">
        <v>37</v>
      </c>
      <c r="D19" s="10" t="s">
        <v>45</v>
      </c>
      <c r="E19" s="10">
        <v>2.0</v>
      </c>
      <c r="F19" s="10">
        <v>6500.0</v>
      </c>
      <c r="G19" s="10">
        <v>1625.0</v>
      </c>
      <c r="H19" s="10">
        <v>500.0</v>
      </c>
      <c r="I19" s="10">
        <v>30.0</v>
      </c>
    </row>
    <row r="20">
      <c r="A20" s="10" t="s">
        <v>78</v>
      </c>
      <c r="B20" s="12">
        <v>46167.0</v>
      </c>
      <c r="C20" s="10" t="s">
        <v>79</v>
      </c>
      <c r="D20" s="10" t="s">
        <v>32</v>
      </c>
      <c r="E20" s="10">
        <v>1.0</v>
      </c>
      <c r="F20" s="10">
        <v>9000.0</v>
      </c>
      <c r="G20" s="10">
        <v>1800.0</v>
      </c>
      <c r="H20" s="10">
        <v>550.0</v>
      </c>
      <c r="I20" s="10">
        <v>33.0</v>
      </c>
    </row>
    <row r="21">
      <c r="A21" s="10" t="s">
        <v>80</v>
      </c>
      <c r="B21" s="12">
        <v>46178.0</v>
      </c>
      <c r="C21" s="10" t="s">
        <v>44</v>
      </c>
      <c r="D21" s="10" t="s">
        <v>39</v>
      </c>
      <c r="E21" s="10">
        <v>2.0</v>
      </c>
      <c r="F21" s="10">
        <v>10500.0</v>
      </c>
      <c r="G21" s="10">
        <v>1890.0</v>
      </c>
      <c r="H21" s="10">
        <v>600.0</v>
      </c>
      <c r="I21" s="10">
        <v>36.0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38"/>
  </cols>
  <sheetData>
    <row r="1">
      <c r="A1" s="1" t="s">
        <v>0</v>
      </c>
      <c r="B1" s="1" t="s">
        <v>3</v>
      </c>
      <c r="C1" s="1" t="s">
        <v>4</v>
      </c>
    </row>
    <row r="2">
      <c r="A2" s="4" t="s">
        <v>5</v>
      </c>
      <c r="B2" s="4">
        <f>SUM(Sales_Data!F2:F21)</f>
        <v>171000</v>
      </c>
      <c r="C2" s="4" t="s">
        <v>38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18</v>
      </c>
      <c r="B3" s="4">
        <f>SUM(Sales_Data!G2:G21)</f>
        <v>34675</v>
      </c>
      <c r="C3" s="4" t="s">
        <v>58</v>
      </c>
    </row>
    <row r="4">
      <c r="A4" s="4" t="s">
        <v>20</v>
      </c>
      <c r="B4" s="15">
        <f>B3/B2</f>
        <v>0.2027777778</v>
      </c>
      <c r="C4" s="4" t="s">
        <v>66</v>
      </c>
    </row>
    <row r="5">
      <c r="A5" s="4" t="s">
        <v>21</v>
      </c>
      <c r="B5" s="4">
        <f>B2/COUNTA(Sales_Data!A2:A21)</f>
        <v>8550</v>
      </c>
      <c r="C5" s="4" t="s">
        <v>72</v>
      </c>
    </row>
    <row r="6">
      <c r="A6" s="4" t="s">
        <v>23</v>
      </c>
      <c r="B6" s="4">
        <f>COUNTA(Sales_Data!A2:A21)</f>
        <v>20</v>
      </c>
      <c r="C6" s="4" t="s">
        <v>77</v>
      </c>
    </row>
    <row r="7">
      <c r="A7" s="4" t="s">
        <v>24</v>
      </c>
      <c r="B7" s="15">
        <f>SUM(Sales_Data!I2:I21)/SUM(Sales_Data!H2:H21)</f>
        <v>0.05519230769</v>
      </c>
      <c r="C7" s="4" t="s">
        <v>81</v>
      </c>
    </row>
    <row r="8">
      <c r="A8" s="4" t="s">
        <v>26</v>
      </c>
      <c r="B8" s="15">
        <f>IFERROR(__xludf.DUMMYFUNCTION("(SUM(FILTER(Sales_Data!F2:F21,MONTH(Sales_Data!B2:B21)&gt;=4))-SUM(FILTER(Sales_Data!F2:F21,MONTH(Sales_Data!B2:B21)&lt;=3)))/SUM(FILTER(Sales_Data!F2:F21,MONTH(Sales_Data!B2:B21)&lt;=3))"),-0.29850746268656714)</f>
        <v>-0.2985074627</v>
      </c>
      <c r="C8" s="4" t="s">
        <v>82</v>
      </c>
    </row>
    <row r="11">
      <c r="A11" s="5" t="s">
        <v>11</v>
      </c>
      <c r="B11" s="6" t="s">
        <v>83</v>
      </c>
      <c r="C11" s="6" t="s">
        <v>14</v>
      </c>
    </row>
    <row r="12">
      <c r="A12" s="4" t="s">
        <v>32</v>
      </c>
      <c r="B12" s="7">
        <v>65500.0</v>
      </c>
      <c r="C12" s="7">
        <v>11100.0</v>
      </c>
    </row>
    <row r="13">
      <c r="A13" s="4" t="s">
        <v>39</v>
      </c>
      <c r="B13" s="7">
        <v>52500.0</v>
      </c>
      <c r="C13" s="7">
        <v>8825.0</v>
      </c>
    </row>
    <row r="14">
      <c r="A14" s="4" t="s">
        <v>45</v>
      </c>
      <c r="B14" s="7">
        <v>53000.0</v>
      </c>
      <c r="C14" s="7">
        <v>14750.0</v>
      </c>
    </row>
    <row r="16">
      <c r="A16" s="16" t="s">
        <v>84</v>
      </c>
    </row>
    <row r="17">
      <c r="A17" s="4" t="s">
        <v>85</v>
      </c>
    </row>
    <row r="18">
      <c r="A18" s="4" t="s">
        <v>86</v>
      </c>
    </row>
    <row r="19">
      <c r="A19" s="4" t="s">
        <v>30</v>
      </c>
    </row>
    <row r="20">
      <c r="A20" s="4" t="s">
        <v>87</v>
      </c>
    </row>
    <row r="21">
      <c r="A21" s="4" t="s">
        <v>88</v>
      </c>
    </row>
    <row r="22">
      <c r="A22" s="4" t="s">
        <v>89</v>
      </c>
    </row>
    <row r="24">
      <c r="A24" s="16" t="s">
        <v>90</v>
      </c>
    </row>
    <row r="25">
      <c r="A25" s="4" t="s">
        <v>91</v>
      </c>
    </row>
    <row r="26">
      <c r="A26" s="4" t="s">
        <v>92</v>
      </c>
    </row>
    <row r="27">
      <c r="A27" s="4" t="s">
        <v>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3">
      <c r="A3" s="2" t="s">
        <v>6</v>
      </c>
    </row>
    <row r="4">
      <c r="A4" s="2" t="s">
        <v>7</v>
      </c>
    </row>
    <row r="6">
      <c r="A6" s="5" t="s">
        <v>0</v>
      </c>
      <c r="B6" s="6" t="s">
        <v>10</v>
      </c>
    </row>
    <row r="7">
      <c r="A7" s="4" t="s">
        <v>5</v>
      </c>
      <c r="B7" s="7" t="s">
        <v>15</v>
      </c>
    </row>
    <row r="8">
      <c r="A8" s="4" t="s">
        <v>18</v>
      </c>
      <c r="B8" s="7" t="s">
        <v>19</v>
      </c>
    </row>
    <row r="9">
      <c r="A9" s="4" t="s">
        <v>20</v>
      </c>
      <c r="B9" s="9">
        <v>0.2028</v>
      </c>
    </row>
    <row r="10">
      <c r="A10" s="4" t="s">
        <v>21</v>
      </c>
      <c r="B10" s="7" t="s">
        <v>22</v>
      </c>
    </row>
    <row r="11">
      <c r="A11" s="4" t="s">
        <v>23</v>
      </c>
      <c r="B11" s="7">
        <v>20.0</v>
      </c>
    </row>
    <row r="12">
      <c r="A12" s="4" t="s">
        <v>24</v>
      </c>
      <c r="B12" s="9">
        <v>0.0552</v>
      </c>
    </row>
    <row r="13">
      <c r="A13" s="4" t="s">
        <v>26</v>
      </c>
      <c r="B13" s="9">
        <v>-0.2985</v>
      </c>
    </row>
    <row r="15">
      <c r="A15" s="1" t="s">
        <v>27</v>
      </c>
    </row>
    <row r="16">
      <c r="A16" s="11"/>
    </row>
    <row r="17">
      <c r="A17" s="4" t="s">
        <v>28</v>
      </c>
    </row>
    <row r="18">
      <c r="A18" s="4" t="s">
        <v>29</v>
      </c>
    </row>
    <row r="19">
      <c r="A19" s="4" t="s">
        <v>30</v>
      </c>
    </row>
    <row r="20">
      <c r="A20" s="4" t="s">
        <v>33</v>
      </c>
    </row>
    <row r="21">
      <c r="A21" s="4" t="s">
        <v>34</v>
      </c>
    </row>
    <row r="22">
      <c r="A22" s="4" t="s">
        <v>36</v>
      </c>
    </row>
    <row r="23">
      <c r="A23" s="4" t="s">
        <v>40</v>
      </c>
    </row>
    <row r="24">
      <c r="A24" s="4" t="s">
        <v>41</v>
      </c>
    </row>
    <row r="26">
      <c r="A26" s="13" t="s">
        <v>43</v>
      </c>
    </row>
    <row r="28">
      <c r="A28" s="14" t="s">
        <v>47</v>
      </c>
    </row>
    <row r="29">
      <c r="A29" s="14" t="s">
        <v>48</v>
      </c>
    </row>
    <row r="30">
      <c r="A30" s="14" t="s">
        <v>51</v>
      </c>
    </row>
    <row r="31">
      <c r="A31" s="14" t="s">
        <v>52</v>
      </c>
    </row>
  </sheetData>
  <drawing r:id="rId1"/>
</worksheet>
</file>